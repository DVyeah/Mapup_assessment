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lab\Mapup_assessment\MapUp-Data-Assessment-E\"/>
    </mc:Choice>
  </mc:AlternateContent>
  <xr:revisionPtr revIDLastSave="0" documentId="13_ncr:1_{7C644D69-27EE-44E5-B6CA-DC2B82D5BE18}" xr6:coauthVersionLast="47" xr6:coauthVersionMax="47" xr10:uidLastSave="{00000000-0000-0000-0000-000000000000}"/>
  <bookViews>
    <workbookView xWindow="-120" yWindow="-120" windowWidth="20730" windowHeight="11160" tabRatio="849" activeTab="7" xr2:uid="{00000000-000D-0000-FFFF-FFFF00000000}"/>
  </bookViews>
  <sheets>
    <sheet name="Instructions" sheetId="22" r:id="rId1"/>
    <sheet name="Dataset" sheetId="1" r:id="rId2"/>
    <sheet name="Sheet1" sheetId="23" state="hidden" r:id="rId3"/>
    <sheet name="Task_1" sheetId="15" r:id="rId4"/>
    <sheet name="Task_2" sheetId="18" r:id="rId5"/>
    <sheet name="Task_3" sheetId="16" r:id="rId6"/>
    <sheet name="Task_4" sheetId="19" r:id="rId7"/>
    <sheet name="Task_5" sheetId="20" r:id="rId8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3" i="20" l="1"/>
  <c r="C25" i="20"/>
  <c r="C26" i="20"/>
  <c r="C27" i="20"/>
  <c r="C28" i="20"/>
  <c r="C29" i="20"/>
  <c r="C30" i="20"/>
  <c r="C31" i="20"/>
  <c r="C32" i="20"/>
  <c r="C33" i="20"/>
  <c r="C34" i="20"/>
  <c r="C35" i="20"/>
  <c r="C24" i="20"/>
  <c r="C22" i="19"/>
  <c r="F30" i="18"/>
  <c r="E30" i="18"/>
  <c r="D30" i="18"/>
  <c r="F29" i="18"/>
  <c r="E29" i="18"/>
  <c r="D29" i="18"/>
  <c r="F28" i="18"/>
  <c r="E28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</calcChain>
</file>

<file path=xl/sharedStrings.xml><?xml version="1.0" encoding="utf-8"?>
<sst xmlns="http://schemas.openxmlformats.org/spreadsheetml/2006/main" count="552" uniqueCount="188">
  <si>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</si>
  <si>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</si>
  <si>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</si>
  <si>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</si>
  <si>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</si>
  <si>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</si>
  <si>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</si>
  <si>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</si>
  <si>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</si>
  <si>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</si>
  <si>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</si>
  <si>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</si>
  <si>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</si>
  <si>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</si>
  <si>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</si>
  <si>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</si>
  <si>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</si>
  <si>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</si>
  <si>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</si>
  <si>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</si>
  <si>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</si>
  <si>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</si>
  <si>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</si>
  <si>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</si>
  <si>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</si>
  <si>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</si>
  <si>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</si>
  <si>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</si>
  <si>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</si>
  <si>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</si>
  <si>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</si>
  <si>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</si>
  <si>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</si>
  <si>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</si>
  <si>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</si>
  <si>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</si>
  <si>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</si>
  <si>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</si>
  <si>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</si>
  <si>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</si>
  <si>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</si>
  <si>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</si>
  <si>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</si>
  <si>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</si>
  <si>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</si>
  <si>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</si>
  <si>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</si>
  <si>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</si>
  <si>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</si>
  <si>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</si>
  <si>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</si>
  <si>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</si>
  <si>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</si>
  <si>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</si>
  <si>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</si>
  <si>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</si>
  <si>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</si>
  <si>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</si>
  <si>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</si>
  <si>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</si>
  <si>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</si>
  <si>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</si>
  <si>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</si>
  <si>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</si>
  <si>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</si>
  <si>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</si>
  <si>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</si>
  <si>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</si>
  <si>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</si>
  <si>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</si>
  <si>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</si>
  <si>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</si>
  <si>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</si>
  <si>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</si>
  <si>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</si>
  <si>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</si>
  <si>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</si>
  <si>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</si>
  <si>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</si>
  <si>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</si>
  <si>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</si>
  <si>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</si>
  <si>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</si>
  <si>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</si>
  <si>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</si>
  <si>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</si>
  <si>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</si>
  <si>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</si>
  <si>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</si>
  <si>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</si>
  <si>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</si>
  <si>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</si>
  <si>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</si>
  <si>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</si>
  <si>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</si>
  <si>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</si>
  <si>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</si>
  <si>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</si>
  <si>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</si>
  <si>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</si>
  <si>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</si>
  <si>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</si>
  <si>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</si>
  <si>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</si>
  <si>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</si>
  <si>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</si>
  <si>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</si>
  <si>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</si>
  <si>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</si>
  <si>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</si>
  <si>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</si>
  <si>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</si>
  <si>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</si>
  <si>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</si>
  <si>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</si>
  <si>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</si>
  <si>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</si>
  <si>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</si>
  <si>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</si>
  <si>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</si>
  <si>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</si>
  <si>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</si>
  <si>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</si>
  <si>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</si>
  <si>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</si>
  <si>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</si>
  <si>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</si>
  <si>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</si>
  <si>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</si>
  <si>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</si>
  <si>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</si>
  <si>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</si>
  <si>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</si>
  <si>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</si>
  <si>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</si>
  <si>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</si>
  <si>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</si>
  <si>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</si>
  <si>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</si>
  <si>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</si>
  <si>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</si>
  <si>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</si>
  <si>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</si>
  <si>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</si>
  <si>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</si>
  <si>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</si>
  <si>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</si>
  <si>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</si>
  <si>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</si>
  <si>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</si>
  <si>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</si>
  <si>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</si>
  <si>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</si>
  <si>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</si>
  <si>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</si>
  <si>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</si>
  <si>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</si>
  <si>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</si>
  <si>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</si>
  <si>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</si>
  <si>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</si>
  <si>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</si>
  <si>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</si>
  <si>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</si>
  <si>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</si>
  <si>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</si>
  <si>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</si>
  <si>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</si>
  <si>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</si>
  <si>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</si>
  <si>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</si>
  <si>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</si>
  <si>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</si>
  <si>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</si>
  <si>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</si>
  <si>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</si>
  <si>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</si>
  <si>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 have used the existing functionality in excel "Text to columns" to split the data into columns.</t>
  </si>
  <si>
    <t>I selected the range of data that needs to be splitted then selected the option "Text to columns" available under Data tab</t>
  </si>
  <si>
    <t>Then choose the type as delimited as the data need to split by the - symbol, then in the next step I specified the specific delimiter - in other option</t>
  </si>
  <si>
    <t>Then I specified the column where the splitted datta will get start to display</t>
  </si>
  <si>
    <t>All 20 values must be substituted with the value '20'</t>
  </si>
  <si>
    <t>Find and replace</t>
  </si>
  <si>
    <t>Using the find option I find the cells which have #N/A. Then replaced the cell with 20.</t>
  </si>
  <si>
    <t>"=VLOOKUP(VLOOKUP(A23,$M$10:$N$18,2,FALSE),$A$9:$J$18,MATCH(VLOOKUP(B23,$M$10:$N$18,2,FALSE),$A$9:$J$9,0),FALSE)"</t>
  </si>
  <si>
    <t>"=SUMIF(I2:W2,"&gt;20",I2:W2)"</t>
  </si>
  <si>
    <t>In this formula I have used 3 vlookup functions nestedly, two for getting the name of the given two ids with in the range "$M$10:$N$18"</t>
  </si>
  <si>
    <t>Using the Match function I retrieved the position of the value given in name_2 which is used as the index number for outer 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</si>
</sst>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49" fontId="4" fillId="0" borderId="0" xfId="0" applyNumberFormat="1" applyFont="1"/>
    <xf numFmtId="49" fontId="7" fillId="2" borderId="0" xfId="0" applyNumberFormat="1" applyFont="1" applyFill="1"/>
    <xf numFmtId="49" fontId="7" fillId="3" borderId="0" xfId="0" applyNumberFormat="1" applyFont="1" applyFill="1"/>
    <xf numFmtId="49" fontId="7" fillId="0" borderId="0" xfId="0" applyNumberFormat="1" applyFont="1"/>
    <xf numFmtId="49" fontId="3" fillId="0" borderId="0" xfId="0" applyNumberFormat="1" applyFont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2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173</v>
      </c>
    </row>
    <row r="9" spans="1:3" x14ac:dyDescent="0.2">
      <c r="A9" s="29" t="s">
        <v>171</v>
      </c>
      <c r="B9" s="23" t="s">
        <v>169</v>
      </c>
    </row>
    <row r="10" spans="1:3" x14ac:dyDescent="0.2">
      <c r="A10" s="28" t="s">
        <v>172</v>
      </c>
      <c r="B10" s="30">
        <v>25</v>
      </c>
    </row>
    <row r="11" spans="1:3" x14ac:dyDescent="0.2">
      <c r="A11" s="28" t="s">
        <v>55</v>
      </c>
      <c r="B11" s="30">
        <v>30</v>
      </c>
    </row>
    <row r="12" spans="1:3" x14ac:dyDescent="0.2">
      <c r="A12" s="28" t="s">
        <v>56</v>
      </c>
      <c r="B12" s="30">
        <v>10</v>
      </c>
    </row>
    <row r="13" spans="1:3" x14ac:dyDescent="0.2">
      <c r="A13" s="28" t="s">
        <v>85</v>
      </c>
      <c r="B13" s="30">
        <v>20</v>
      </c>
    </row>
    <row r="14" spans="1:3" x14ac:dyDescent="0.2">
      <c r="A14" s="28" t="s">
        <v>98</v>
      </c>
      <c r="B14" s="30">
        <v>40</v>
      </c>
    </row>
    <row r="15" spans="1:3" x14ac:dyDescent="0.2">
      <c r="A15" s="31" t="s">
        <v>170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N24" sqref="N24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1" customWidth="1"/>
    <col min="5" max="5" width="9.1640625" style="1" bestFit="1" customWidth="1"/>
    <col min="6" max="6" width="10.33203125" style="21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4" bestFit="1" customWidth="1"/>
    <col min="25" max="16384" width="9" style="1"/>
  </cols>
  <sheetData>
    <row r="1" spans="1:24" s="41" customFormat="1" ht="14.85" customHeight="1" x14ac:dyDescent="0.25">
      <c r="A1" s="38" t="s">
        <v>64</v>
      </c>
      <c r="B1" s="38" t="s">
        <v>43</v>
      </c>
      <c r="C1" s="38" t="s">
        <v>0</v>
      </c>
      <c r="D1" s="38" t="s">
        <v>1</v>
      </c>
      <c r="E1" s="38" t="s">
        <v>2</v>
      </c>
      <c r="F1" s="38" t="s">
        <v>3</v>
      </c>
      <c r="G1" s="39" t="s">
        <v>79</v>
      </c>
      <c r="H1" s="39" t="s">
        <v>65</v>
      </c>
      <c r="I1" s="39" t="s">
        <v>66</v>
      </c>
      <c r="J1" s="40" t="s">
        <v>67</v>
      </c>
      <c r="K1" s="40" t="s">
        <v>68</v>
      </c>
      <c r="L1" s="40" t="s">
        <v>69</v>
      </c>
      <c r="M1" s="39" t="s">
        <v>70</v>
      </c>
      <c r="N1" s="39" t="s">
        <v>71</v>
      </c>
      <c r="O1" s="39" t="s">
        <v>72</v>
      </c>
      <c r="P1" s="40" t="s">
        <v>73</v>
      </c>
      <c r="Q1" s="40" t="s">
        <v>74</v>
      </c>
      <c r="R1" s="40" t="s">
        <v>75</v>
      </c>
      <c r="S1" s="39" t="s">
        <v>80</v>
      </c>
      <c r="T1" s="39" t="s">
        <v>76</v>
      </c>
      <c r="U1" s="40" t="s">
        <v>81</v>
      </c>
      <c r="V1" s="40" t="s">
        <v>77</v>
      </c>
      <c r="W1" s="40" t="s">
        <v>78</v>
      </c>
      <c r="X1" s="4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f>SUMIF(I2:W2,"&gt;20",I2:W2)</f>
        <v>0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f t="shared" ref="H3:H40" si="0">SUMIF(I3:W3,"&gt;20",I3:W3)</f>
        <v>0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f t="shared" si="0"/>
        <v>0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f t="shared" si="0"/>
        <v>0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f t="shared" si="0"/>
        <v>45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f t="shared" si="0"/>
        <v>95.199999999999989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f t="shared" si="0"/>
        <v>122.19999999999999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f t="shared" si="0"/>
        <v>265.20000000000005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f t="shared" si="0"/>
        <v>413.40000000000009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f t="shared" si="0"/>
        <v>474.40000000000009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f t="shared" si="0"/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f t="shared" si="0"/>
        <v>565.00000000000011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f t="shared" si="0"/>
        <v>626.20000000000005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f t="shared" si="0"/>
        <v>704.39999999999986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f t="shared" si="0"/>
        <v>736.1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f t="shared" si="0"/>
        <v>763.59999999999991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f t="shared" si="0"/>
        <v>782.30000000000007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f t="shared" si="0"/>
        <v>826.6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f t="shared" si="0"/>
        <v>898.9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f t="shared" si="0"/>
        <v>933.90000000000009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f t="shared" si="0"/>
        <v>970.59999999999991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f t="shared" si="0"/>
        <v>1012.4000000000001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f t="shared" si="0"/>
        <v>1041.0999999999999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f t="shared" si="0"/>
        <v>1062.8999999999999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f t="shared" si="0"/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f t="shared" si="0"/>
        <v>1099.4000000000001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f t="shared" si="0"/>
        <v>1102.3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f t="shared" si="0"/>
        <v>1136.9000000000001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f t="shared" si="0"/>
        <v>0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f t="shared" si="0"/>
        <v>1173.9000000000001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f t="shared" si="0"/>
        <v>0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f t="shared" si="0"/>
        <v>1100.6999999999998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f t="shared" si="0"/>
        <v>1154.7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f t="shared" si="0"/>
        <v>1190.8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f t="shared" si="0"/>
        <v>1262.7000000000003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f t="shared" si="0"/>
        <v>1296.8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f t="shared" si="0"/>
        <v>1318.4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f t="shared" si="0"/>
        <v>1354.7999999999997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f t="shared" si="0"/>
        <v>1372.1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autoFilter ref="A1:X40" xr:uid="{00000000-0001-0000-0000-000000000000}"/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G2:W40">
    <cfRule type="cellIs" dxfId="4" priority="2" operator="equal">
      <formula>-1</formula>
    </cfRule>
    <cfRule type="cellIs" dxfId="5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964E0-CD18-42A7-9307-081605E0586F}">
  <dimension ref="A1:X40"/>
  <sheetViews>
    <sheetView workbookViewId="0">
      <selection activeCell="H2" sqref="H2"/>
    </sheetView>
  </sheetViews>
  <sheetFormatPr defaultColWidth="9" defaultRowHeight="12.7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1" customWidth="1"/>
    <col min="5" max="5" width="9.1640625" style="1" bestFit="1" customWidth="1"/>
    <col min="6" max="6" width="10.33203125" style="21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41" customFormat="1" ht="14.85" customHeight="1" x14ac:dyDescent="0.25">
      <c r="A1" s="38" t="s">
        <v>64</v>
      </c>
      <c r="B1" s="38" t="s">
        <v>43</v>
      </c>
      <c r="C1" s="38" t="s">
        <v>0</v>
      </c>
      <c r="D1" s="38" t="s">
        <v>1</v>
      </c>
      <c r="E1" s="38" t="s">
        <v>2</v>
      </c>
      <c r="F1" s="38" t="s">
        <v>3</v>
      </c>
      <c r="G1" s="39" t="s">
        <v>79</v>
      </c>
      <c r="H1" s="39" t="s">
        <v>65</v>
      </c>
      <c r="I1" s="39" t="s">
        <v>66</v>
      </c>
      <c r="J1" s="40" t="s">
        <v>67</v>
      </c>
      <c r="K1" s="40" t="s">
        <v>68</v>
      </c>
      <c r="L1" s="40" t="s">
        <v>69</v>
      </c>
      <c r="M1" s="39" t="s">
        <v>70</v>
      </c>
      <c r="N1" s="39" t="s">
        <v>71</v>
      </c>
      <c r="O1" s="39" t="s">
        <v>72</v>
      </c>
      <c r="P1" s="40" t="s">
        <v>73</v>
      </c>
      <c r="Q1" s="40" t="s">
        <v>74</v>
      </c>
      <c r="R1" s="40" t="s">
        <v>75</v>
      </c>
      <c r="S1" s="39" t="s">
        <v>80</v>
      </c>
      <c r="T1" s="39" t="s">
        <v>76</v>
      </c>
      <c r="U1" s="40" t="s">
        <v>81</v>
      </c>
      <c r="V1" s="40" t="s">
        <v>77</v>
      </c>
      <c r="W1" s="40" t="s">
        <v>78</v>
      </c>
      <c r="X1" s="41" t="s">
        <v>106</v>
      </c>
    </row>
    <row r="2" spans="1:24" ht="15" x14ac:dyDescent="0.25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4">
        <v>45051</v>
      </c>
    </row>
    <row r="3" spans="1:24" ht="15" x14ac:dyDescent="0.25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4">
        <v>45048</v>
      </c>
    </row>
    <row r="4" spans="1:24" ht="15" x14ac:dyDescent="0.25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4">
        <v>45055</v>
      </c>
    </row>
    <row r="5" spans="1:24" ht="15" x14ac:dyDescent="0.25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4">
        <v>45059</v>
      </c>
    </row>
    <row r="6" spans="1:24" ht="15" x14ac:dyDescent="0.25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4">
        <v>45076</v>
      </c>
    </row>
    <row r="7" spans="1:24" ht="15" x14ac:dyDescent="0.25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4">
        <v>45057</v>
      </c>
    </row>
    <row r="8" spans="1:24" ht="15" x14ac:dyDescent="0.25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4">
        <v>45052</v>
      </c>
    </row>
    <row r="9" spans="1:24" ht="15" x14ac:dyDescent="0.25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4">
        <v>45098</v>
      </c>
    </row>
    <row r="10" spans="1:24" ht="15" x14ac:dyDescent="0.25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4">
        <v>45092</v>
      </c>
    </row>
    <row r="11" spans="1:24" ht="15" x14ac:dyDescent="0.25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4">
        <v>45104</v>
      </c>
    </row>
    <row r="12" spans="1:24" ht="15" x14ac:dyDescent="0.25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4">
        <v>45116</v>
      </c>
    </row>
    <row r="13" spans="1:24" ht="15" x14ac:dyDescent="0.25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4">
        <v>45110</v>
      </c>
    </row>
    <row r="14" spans="1:24" ht="15" x14ac:dyDescent="0.25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4">
        <v>45095</v>
      </c>
    </row>
    <row r="15" spans="1:24" ht="15" x14ac:dyDescent="0.25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4">
        <v>45113</v>
      </c>
    </row>
    <row r="16" spans="1:24" ht="15" x14ac:dyDescent="0.25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4">
        <v>45063</v>
      </c>
    </row>
    <row r="17" spans="1:24" ht="15" x14ac:dyDescent="0.25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4">
        <v>45071</v>
      </c>
    </row>
    <row r="18" spans="1:24" ht="15" x14ac:dyDescent="0.25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4">
        <v>45085</v>
      </c>
    </row>
    <row r="19" spans="1:24" ht="15" x14ac:dyDescent="0.25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4">
        <v>45099</v>
      </c>
    </row>
    <row r="20" spans="1:24" ht="15" x14ac:dyDescent="0.25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4">
        <v>45091</v>
      </c>
    </row>
    <row r="21" spans="1:24" ht="15" x14ac:dyDescent="0.25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4">
        <v>45079</v>
      </c>
    </row>
    <row r="22" spans="1:24" ht="15" x14ac:dyDescent="0.25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4">
        <v>45075</v>
      </c>
    </row>
    <row r="23" spans="1:24" ht="15" x14ac:dyDescent="0.25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4">
        <v>45110</v>
      </c>
    </row>
    <row r="24" spans="1:24" ht="15" x14ac:dyDescent="0.25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4">
        <v>45114</v>
      </c>
    </row>
    <row r="25" spans="1:24" ht="15" x14ac:dyDescent="0.25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4">
        <v>45118</v>
      </c>
    </row>
    <row r="26" spans="1:24" ht="15" x14ac:dyDescent="0.25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4">
        <v>45142</v>
      </c>
    </row>
    <row r="27" spans="1:24" ht="15" x14ac:dyDescent="0.25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4">
        <v>45146</v>
      </c>
    </row>
    <row r="28" spans="1:24" ht="15" x14ac:dyDescent="0.25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4">
        <v>45108</v>
      </c>
    </row>
    <row r="29" spans="1:24" ht="15" x14ac:dyDescent="0.25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4">
        <v>45153</v>
      </c>
    </row>
    <row r="30" spans="1:24" ht="15" x14ac:dyDescent="0.25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4">
        <v>45150</v>
      </c>
    </row>
    <row r="31" spans="1:24" ht="15" x14ac:dyDescent="0.25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4">
        <v>45157</v>
      </c>
    </row>
    <row r="32" spans="1:24" ht="15" x14ac:dyDescent="0.25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4">
        <v>45143</v>
      </c>
    </row>
    <row r="33" spans="1:24" ht="15" x14ac:dyDescent="0.25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4">
        <v>45166</v>
      </c>
    </row>
    <row r="34" spans="1:24" ht="15" x14ac:dyDescent="0.25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4">
        <v>45162</v>
      </c>
    </row>
    <row r="35" spans="1:24" ht="15" x14ac:dyDescent="0.25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4">
        <v>45160</v>
      </c>
    </row>
    <row r="36" spans="1:24" ht="15" x14ac:dyDescent="0.25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4">
        <v>45179</v>
      </c>
    </row>
    <row r="37" spans="1:24" ht="15" x14ac:dyDescent="0.25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4">
        <v>45157</v>
      </c>
    </row>
    <row r="38" spans="1:24" ht="15" x14ac:dyDescent="0.25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4">
        <v>45143</v>
      </c>
    </row>
    <row r="39" spans="1:24" ht="15" x14ac:dyDescent="0.25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4">
        <v>45166</v>
      </c>
    </row>
    <row r="40" spans="1:24" ht="15" x14ac:dyDescent="0.25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4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0" priority="1" operator="equal">
      <formula>0</formula>
    </cfRule>
    <cfRule type="cellIs" dxfId="1" priority="2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6" sqref="D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27" t="s">
        <v>105</v>
      </c>
      <c r="D5" s="42" t="s">
        <v>185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A28" sqref="A28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4" customFormat="1" ht="21" x14ac:dyDescent="0.35">
      <c r="A1" s="35" t="s">
        <v>55</v>
      </c>
      <c r="B1" s="34" t="s">
        <v>165</v>
      </c>
    </row>
    <row r="2" spans="1:7" s="34" customFormat="1" ht="21" x14ac:dyDescent="0.35">
      <c r="B2" s="34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163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19" t="s">
        <v>77</v>
      </c>
    </row>
    <row r="6" spans="1:7" ht="15" x14ac:dyDescent="0.25">
      <c r="A6" s="16" t="s">
        <v>40</v>
      </c>
      <c r="B6" s="16">
        <f>VLOOKUP(A6,Dataset!A2:X40,7,FALSE)</f>
        <v>2.7</v>
      </c>
      <c r="C6" s="16">
        <f>VLOOKUP(A6,Dataset!A2:X40,14,FALSE)</f>
        <v>7.6</v>
      </c>
      <c r="D6" s="16">
        <f>VLOOKUP(A6,Dataset!A2:X40,18,FALSE)</f>
        <v>4.2</v>
      </c>
      <c r="E6" s="16">
        <f>VLOOKUP(A6,Dataset!A2:X40,20,FALSE)</f>
        <v>8.9</v>
      </c>
      <c r="F6" s="16">
        <f>VLOOKUP(A6,Dataset!A2:X40,22,FALSE)</f>
        <v>4.2</v>
      </c>
    </row>
    <row r="7" spans="1:7" ht="15" x14ac:dyDescent="0.25">
      <c r="A7" s="16" t="s">
        <v>4</v>
      </c>
      <c r="B7" s="16">
        <f>VLOOKUP(A7,Dataset!A3:X41,7,FALSE)</f>
        <v>2.7</v>
      </c>
      <c r="C7" s="16">
        <f>VLOOKUP(A7,Dataset!A3:X41,14,FALSE)</f>
        <v>7.6</v>
      </c>
      <c r="D7" s="16">
        <f>VLOOKUP(A7,Dataset!A3:X41,18,FALSE)</f>
        <v>4.2</v>
      </c>
      <c r="E7" s="16">
        <f>VLOOKUP(A7,Dataset!A3:X41,20,FALSE)</f>
        <v>8.9</v>
      </c>
      <c r="F7" s="16">
        <f>VLOOKUP(A7,Dataset!A3:X41,22,FALSE)</f>
        <v>4.2</v>
      </c>
    </row>
    <row r="8" spans="1:7" ht="15" x14ac:dyDescent="0.25">
      <c r="A8" s="16" t="s">
        <v>7</v>
      </c>
      <c r="B8" s="16">
        <f>VLOOKUP(A8,Dataset!A4:X42,7,FALSE)</f>
        <v>3.6</v>
      </c>
      <c r="C8" s="16">
        <f>VLOOKUP(A8,Dataset!A4:X42,14,FALSE)</f>
        <v>11.1</v>
      </c>
      <c r="D8" s="16">
        <f>VLOOKUP(A8,Dataset!A4:X42,18,FALSE)</f>
        <v>5.8</v>
      </c>
      <c r="E8" s="16">
        <f>VLOOKUP(A8,Dataset!A4:X42,20,FALSE)</f>
        <v>12.2</v>
      </c>
      <c r="F8" s="16">
        <f>VLOOKUP(A8,Dataset!A4:X42,22,FALSE)</f>
        <v>5.8</v>
      </c>
    </row>
    <row r="9" spans="1:7" ht="15" x14ac:dyDescent="0.25">
      <c r="A9" s="16" t="s">
        <v>8</v>
      </c>
      <c r="B9" s="16">
        <f>VLOOKUP(A9,Dataset!A5:X43,7,FALSE)</f>
        <v>4.9000000000000004</v>
      </c>
      <c r="C9" s="16">
        <f>VLOOKUP(A9,Dataset!A5:X43,14,FALSE)</f>
        <v>13.3</v>
      </c>
      <c r="D9" s="16">
        <f>VLOOKUP(A9,Dataset!A5:X43,18,FALSE)</f>
        <v>8.1</v>
      </c>
      <c r="E9" s="16">
        <f>VLOOKUP(A9,Dataset!A5:X43,20,FALSE)</f>
        <v>17</v>
      </c>
      <c r="F9" s="16">
        <f>VLOOKUP(A9,Dataset!A5:X43,22,FALSE)</f>
        <v>8.1</v>
      </c>
    </row>
    <row r="10" spans="1:7" ht="15" x14ac:dyDescent="0.25">
      <c r="A10" s="16" t="s">
        <v>11</v>
      </c>
      <c r="B10" s="16">
        <f>VLOOKUP(A10,Dataset!A6:X44,7,FALSE)</f>
        <v>9.4</v>
      </c>
      <c r="C10" s="16">
        <f>VLOOKUP(A10,Dataset!A6:X44,14,FALSE)</f>
        <v>28.3</v>
      </c>
      <c r="D10" s="16">
        <f>VLOOKUP(A10,Dataset!A6:X44,18,FALSE)</f>
        <v>16.100000000000001</v>
      </c>
      <c r="E10" s="16">
        <f>VLOOKUP(A10,Dataset!A6:X44,20,FALSE)</f>
        <v>32.799999999999997</v>
      </c>
      <c r="F10" s="16">
        <f>VLOOKUP(A10,Dataset!A6:X44,22,FALSE)</f>
        <v>16.100000000000001</v>
      </c>
    </row>
    <row r="11" spans="1:7" ht="15" x14ac:dyDescent="0.25">
      <c r="A11" s="16" t="s">
        <v>12</v>
      </c>
      <c r="B11" s="16">
        <f>VLOOKUP(A11,Dataset!A7:X45,7,FALSE)</f>
        <v>11.6</v>
      </c>
      <c r="C11" s="16">
        <f>VLOOKUP(A11,Dataset!A7:X45,14,FALSE)</f>
        <v>35.200000000000003</v>
      </c>
      <c r="D11" s="16">
        <f>VLOOKUP(A11,Dataset!A7:X45,18,FALSE)</f>
        <v>21.3</v>
      </c>
      <c r="E11" s="16">
        <f>VLOOKUP(A11,Dataset!A7:X45,20,FALSE)</f>
        <v>43</v>
      </c>
      <c r="F11" s="16">
        <f>VLOOKUP(A11,Dataset!A7:X45,22,FALSE)</f>
        <v>21.3</v>
      </c>
    </row>
    <row r="12" spans="1:7" ht="15" x14ac:dyDescent="0.25">
      <c r="A12" s="16" t="s">
        <v>14</v>
      </c>
      <c r="B12" s="16">
        <f>VLOOKUP(A12,Dataset!A8:X46,7,FALSE)</f>
        <v>18.399999999999999</v>
      </c>
      <c r="C12" s="16">
        <f>VLOOKUP(A12,Dataset!A8:X46,14,FALSE)</f>
        <v>55.6</v>
      </c>
      <c r="D12" s="16">
        <f>VLOOKUP(A12,Dataset!A8:X46,18,FALSE)</f>
        <v>33.799999999999997</v>
      </c>
      <c r="E12" s="16">
        <f>VLOOKUP(A12,Dataset!A8:X46,20,FALSE)</f>
        <v>67.900000000000006</v>
      </c>
      <c r="F12" s="16">
        <f>VLOOKUP(A12,Dataset!A8:X46,22,FALSE)</f>
        <v>33.799999999999997</v>
      </c>
    </row>
    <row r="13" spans="1:7" ht="15" x14ac:dyDescent="0.25">
      <c r="A13" s="16" t="s">
        <v>15</v>
      </c>
      <c r="B13" s="16">
        <f>VLOOKUP(A13,Dataset!A9:X47,7,FALSE)</f>
        <v>0</v>
      </c>
      <c r="C13" s="16">
        <f>VLOOKUP(A13,Dataset!A9:X47,14,FALSE)</f>
        <v>0</v>
      </c>
      <c r="D13" s="16">
        <f>VLOOKUP(A13,Dataset!A9:X47,18,FALSE)</f>
        <v>0</v>
      </c>
      <c r="E13" s="16">
        <f>VLOOKUP(A13,Dataset!A9:X47,20,FALSE)</f>
        <v>0</v>
      </c>
      <c r="F13" s="16">
        <f>VLOOKUP(A13,Dataset!A9:X47,22,FALSE)</f>
        <v>0</v>
      </c>
    </row>
    <row r="14" spans="1:7" ht="15" x14ac:dyDescent="0.25">
      <c r="A14" s="16" t="s">
        <v>16</v>
      </c>
      <c r="B14" s="16">
        <f>VLOOKUP(A14,Dataset!A10:X48,7,FALSE)</f>
        <v>21.9</v>
      </c>
      <c r="C14" s="16">
        <f>VLOOKUP(A14,Dataset!A10:X48,14,FALSE)</f>
        <v>61.5</v>
      </c>
      <c r="D14" s="16">
        <f>VLOOKUP(A14,Dataset!A10:X48,18,FALSE)</f>
        <v>40.1</v>
      </c>
      <c r="E14" s="16">
        <f>VLOOKUP(A14,Dataset!A10:X48,20,FALSE)</f>
        <v>76.599999999999994</v>
      </c>
      <c r="F14" s="16">
        <f>VLOOKUP(A14,Dataset!A10:X48,22,FALSE)</f>
        <v>40.1</v>
      </c>
    </row>
    <row r="15" spans="1:7" ht="15" x14ac:dyDescent="0.25">
      <c r="A15" s="16" t="s">
        <v>18</v>
      </c>
      <c r="B15" s="16">
        <f>VLOOKUP(A15,Dataset!A11:X49,7,FALSE)</f>
        <v>26.8</v>
      </c>
      <c r="C15" s="16">
        <f>VLOOKUP(A15,Dataset!A11:X49,14,FALSE)</f>
        <v>79.599999999999994</v>
      </c>
      <c r="D15" s="16">
        <f>VLOOKUP(A15,Dataset!A11:X49,18,FALSE)</f>
        <v>47.9</v>
      </c>
      <c r="E15" s="16">
        <f>VLOOKUP(A15,Dataset!A11:X49,20,FALSE)</f>
        <v>96.8</v>
      </c>
      <c r="F15" s="16">
        <f>VLOOKUP(A15,Dataset!A11:X49,22,FALSE)</f>
        <v>47.9</v>
      </c>
    </row>
    <row r="16" spans="1:7" ht="15" x14ac:dyDescent="0.25">
      <c r="A16" s="16" t="s">
        <v>20</v>
      </c>
      <c r="B16" s="16">
        <f>VLOOKUP(A16,Dataset!A12:X50,7,FALSE)</f>
        <v>28.5</v>
      </c>
      <c r="C16" s="16">
        <f>VLOOKUP(A16,Dataset!A12:X50,14,FALSE)</f>
        <v>85.4</v>
      </c>
      <c r="D16" s="16">
        <f>VLOOKUP(A16,Dataset!A12:X50,18,FALSE)</f>
        <v>52.3</v>
      </c>
      <c r="E16" s="16">
        <f>VLOOKUP(A16,Dataset!A12:X50,20,FALSE)</f>
        <v>106.1</v>
      </c>
      <c r="F16" s="16">
        <f>VLOOKUP(A16,Dataset!A12:X50,22,FALSE)</f>
        <v>52.3</v>
      </c>
    </row>
    <row r="17" spans="1:6" ht="15" x14ac:dyDescent="0.25">
      <c r="A17" s="16" t="s">
        <v>22</v>
      </c>
      <c r="B17" s="16">
        <f>VLOOKUP(A17,Dataset!A13:X51,7,FALSE)</f>
        <v>30.7</v>
      </c>
      <c r="C17" s="16">
        <f>VLOOKUP(A17,Dataset!A13:X51,14,FALSE)</f>
        <v>92.1</v>
      </c>
      <c r="D17" s="16">
        <f>VLOOKUP(A17,Dataset!A13:X51,18,FALSE)</f>
        <v>57</v>
      </c>
      <c r="E17" s="16">
        <f>VLOOKUP(A17,Dataset!A13:X51,20,FALSE)</f>
        <v>115.1</v>
      </c>
      <c r="F17" s="16">
        <f>VLOOKUP(A17,Dataset!A13:X51,22,FALSE)</f>
        <v>57</v>
      </c>
    </row>
    <row r="18" spans="1:6" ht="15" x14ac:dyDescent="0.25">
      <c r="A18" s="16" t="s">
        <v>23</v>
      </c>
      <c r="B18" s="16">
        <f>VLOOKUP(A18,Dataset!A14:X52,7,FALSE)</f>
        <v>33.799999999999997</v>
      </c>
      <c r="C18" s="16">
        <f>VLOOKUP(A18,Dataset!A14:X52,14,FALSE)</f>
        <v>101.3</v>
      </c>
      <c r="D18" s="16">
        <f>VLOOKUP(A18,Dataset!A14:X52,18,FALSE)</f>
        <v>61.4</v>
      </c>
      <c r="E18" s="16">
        <f>VLOOKUP(A18,Dataset!A14:X52,20,FALSE)</f>
        <v>124.4</v>
      </c>
      <c r="F18" s="16">
        <f>VLOOKUP(A18,Dataset!A14:X52,22,FALSE)</f>
        <v>61.4</v>
      </c>
    </row>
    <row r="19" spans="1:6" ht="15" x14ac:dyDescent="0.25">
      <c r="A19" s="16" t="s">
        <v>24</v>
      </c>
      <c r="B19" s="16">
        <f>VLOOKUP(A19,Dataset!A15:X53,7,FALSE)</f>
        <v>34.700000000000003</v>
      </c>
      <c r="C19" s="16">
        <f>VLOOKUP(A19,Dataset!A15:X53,14,FALSE)</f>
        <v>106.1</v>
      </c>
      <c r="D19" s="16">
        <f>VLOOKUP(A19,Dataset!A15:X53,18,FALSE)</f>
        <v>63.6</v>
      </c>
      <c r="E19" s="16">
        <f>VLOOKUP(A19,Dataset!A15:X53,20,FALSE)</f>
        <v>128.6</v>
      </c>
      <c r="F19" s="16">
        <f>VLOOKUP(A19,Dataset!A15:X53,22,FALSE)</f>
        <v>63.6</v>
      </c>
    </row>
    <row r="20" spans="1:6" ht="15" x14ac:dyDescent="0.25">
      <c r="A20" s="16" t="s">
        <v>28</v>
      </c>
      <c r="B20" s="16">
        <f>VLOOKUP(A20,Dataset!A16:X54,7,FALSE)</f>
        <v>0</v>
      </c>
      <c r="C20" s="16">
        <f>VLOOKUP(A20,Dataset!A16:X54,14,FALSE)</f>
        <v>0</v>
      </c>
      <c r="D20" s="16">
        <f>VLOOKUP(A20,Dataset!A16:X54,18,FALSE)</f>
        <v>0</v>
      </c>
      <c r="E20" s="16">
        <f>VLOOKUP(A20,Dataset!A16:X54,20,FALSE)</f>
        <v>0</v>
      </c>
      <c r="F20" s="16">
        <f>VLOOKUP(A20,Dataset!A16:X54,22,FALSE)</f>
        <v>0</v>
      </c>
    </row>
    <row r="21" spans="1:6" ht="15" x14ac:dyDescent="0.25">
      <c r="A21" s="16" t="s">
        <v>57</v>
      </c>
      <c r="B21" s="16">
        <f>VLOOKUP(A21,Dataset!A17:X55,7,FALSE)</f>
        <v>41.3</v>
      </c>
      <c r="C21" s="16">
        <f>VLOOKUP(A21,Dataset!A17:X55,14,FALSE)</f>
        <v>124.4</v>
      </c>
      <c r="D21" s="16">
        <f>VLOOKUP(A21,Dataset!A17:X55,18,FALSE)</f>
        <v>75</v>
      </c>
      <c r="E21" s="16">
        <f>VLOOKUP(A21,Dataset!A17:X55,20,FALSE)</f>
        <v>151.5</v>
      </c>
      <c r="F21" s="16">
        <f>VLOOKUP(A21,Dataset!A17:X55,22,FALSE)</f>
        <v>75</v>
      </c>
    </row>
    <row r="22" spans="1:6" ht="15" x14ac:dyDescent="0.25">
      <c r="A22" s="16" t="s">
        <v>58</v>
      </c>
      <c r="B22" s="16">
        <f>VLOOKUP(A22,Dataset!A18:X56,7,FALSE)</f>
        <v>-1</v>
      </c>
      <c r="C22" s="16">
        <f>VLOOKUP(A22,Dataset!A18:X56,14,FALSE)</f>
        <v>-1</v>
      </c>
      <c r="D22" s="16">
        <f>VLOOKUP(A22,Dataset!A18:X56,18,FALSE)</f>
        <v>-1</v>
      </c>
      <c r="E22" s="16">
        <f>VLOOKUP(A22,Dataset!A18:X56,20,FALSE)</f>
        <v>-1</v>
      </c>
      <c r="F22" s="16">
        <f>VLOOKUP(A22,Dataset!A18:X56,22,FALSE)</f>
        <v>-1</v>
      </c>
    </row>
    <row r="23" spans="1:6" ht="15" x14ac:dyDescent="0.25">
      <c r="A23" s="16" t="s">
        <v>31</v>
      </c>
      <c r="B23" s="16">
        <f>VLOOKUP(A23,Dataset!A19:X57,7,FALSE)</f>
        <v>45</v>
      </c>
      <c r="C23" s="16">
        <f>VLOOKUP(A23,Dataset!A19:X57,14,FALSE)</f>
        <v>133.4</v>
      </c>
      <c r="D23" s="16">
        <f>VLOOKUP(A23,Dataset!A19:X57,18,FALSE)</f>
        <v>79.400000000000006</v>
      </c>
      <c r="E23" s="16">
        <f>VLOOKUP(A23,Dataset!A19:X57,20,FALSE)</f>
        <v>160.9</v>
      </c>
      <c r="F23" s="16">
        <f>VLOOKUP(A23,Dataset!A19:X57,22,FALSE)</f>
        <v>79.400000000000006</v>
      </c>
    </row>
    <row r="24" spans="1:6" ht="15" x14ac:dyDescent="0.25">
      <c r="A24" s="16" t="s">
        <v>32</v>
      </c>
      <c r="B24" s="16">
        <f>VLOOKUP(A24,Dataset!A20:X58,7,FALSE)</f>
        <v>-1</v>
      </c>
      <c r="C24" s="16">
        <f>VLOOKUP(A24,Dataset!A20:X58,14,FALSE)</f>
        <v>-1</v>
      </c>
      <c r="D24" s="16">
        <f>VLOOKUP(A24,Dataset!A20:X58,18,FALSE)</f>
        <v>-1</v>
      </c>
      <c r="E24" s="16">
        <f>VLOOKUP(A24,Dataset!A20:X58,20,FALSE)</f>
        <v>-1</v>
      </c>
      <c r="F24" s="16">
        <f>VLOOKUP(A24,Dataset!A20:X58,22,FALSE)</f>
        <v>-1</v>
      </c>
    </row>
    <row r="25" spans="1:6" ht="15" x14ac:dyDescent="0.25">
      <c r="A25" s="16" t="s">
        <v>34</v>
      </c>
      <c r="B25" s="16">
        <f>VLOOKUP(A25,Dataset!A21:X59,7,FALSE)</f>
        <v>43.3</v>
      </c>
      <c r="C25" s="16">
        <f>VLOOKUP(A25,Dataset!A21:X59,14,FALSE)</f>
        <v>128.6</v>
      </c>
      <c r="D25" s="16">
        <f>VLOOKUP(A25,Dataset!A21:X59,18,FALSE)</f>
        <v>79.400000000000006</v>
      </c>
      <c r="E25" s="16">
        <f>VLOOKUP(A25,Dataset!A21:X59,20,FALSE)</f>
        <v>160.9</v>
      </c>
      <c r="F25" s="16">
        <f>VLOOKUP(A25,Dataset!A21:X59,22,FALSE)</f>
        <v>79.400000000000006</v>
      </c>
    </row>
    <row r="26" spans="1:6" ht="15" x14ac:dyDescent="0.25">
      <c r="A26" s="16" t="s">
        <v>37</v>
      </c>
      <c r="B26" s="16">
        <f>VLOOKUP(A26,Dataset!A22:X60,7,FALSE)</f>
        <v>49.1</v>
      </c>
      <c r="C26" s="16">
        <f>VLOOKUP(A26,Dataset!A22:X60,14,FALSE)</f>
        <v>146.80000000000001</v>
      </c>
      <c r="D26" s="16">
        <f>VLOOKUP(A26,Dataset!A22:X60,18,FALSE)</f>
        <v>90.9</v>
      </c>
      <c r="E26" s="16">
        <f>VLOOKUP(A26,Dataset!A22:X60,20,FALSE)</f>
        <v>183.5</v>
      </c>
      <c r="F26" s="16">
        <f>VLOOKUP(A26,Dataset!A22:X60,22,FALSE)</f>
        <v>90.9</v>
      </c>
    </row>
    <row r="27" spans="1:6" ht="15" x14ac:dyDescent="0.25">
      <c r="A27" s="16" t="s">
        <v>39</v>
      </c>
      <c r="B27" s="16">
        <f>VLOOKUP(A27,Dataset!A23:X61,7,FALSE)</f>
        <v>51.8</v>
      </c>
      <c r="C27" s="16">
        <f>VLOOKUP(A27,Dataset!A23:X61,14,FALSE)</f>
        <v>156.4</v>
      </c>
      <c r="D27" s="16">
        <f>VLOOKUP(A27,Dataset!A23:X61,18,FALSE)</f>
        <v>93.1</v>
      </c>
      <c r="E27" s="16">
        <f>VLOOKUP(A27,Dataset!A23:X61,20,FALSE)</f>
        <v>188.1</v>
      </c>
      <c r="F27" s="16">
        <f>VLOOKUP(A27,Dataset!A23:X61,22,FALSE)</f>
        <v>93.1</v>
      </c>
    </row>
    <row r="28" spans="1:6" ht="15" x14ac:dyDescent="0.25">
      <c r="A28" s="18" t="s">
        <v>82</v>
      </c>
      <c r="B28" s="16">
        <f>MIN(B6:B27)</f>
        <v>-1</v>
      </c>
      <c r="C28" s="16">
        <f>MIN(C6:C27)</f>
        <v>-1</v>
      </c>
      <c r="D28" s="16">
        <f t="shared" ref="D28:F28" si="0">MIN(D6:D27)</f>
        <v>-1</v>
      </c>
      <c r="E28" s="16">
        <f t="shared" si="0"/>
        <v>-1</v>
      </c>
      <c r="F28" s="16">
        <f t="shared" si="0"/>
        <v>-1</v>
      </c>
    </row>
    <row r="29" spans="1:6" ht="15" x14ac:dyDescent="0.25">
      <c r="A29" s="18" t="s">
        <v>83</v>
      </c>
      <c r="B29" s="16">
        <f>MAX(B6:B27)</f>
        <v>51.8</v>
      </c>
      <c r="C29" s="16">
        <f>MAX(C6:C27)</f>
        <v>156.4</v>
      </c>
      <c r="D29" s="16">
        <f t="shared" ref="D29:F29" si="1">MAX(D6:D27)</f>
        <v>93.1</v>
      </c>
      <c r="E29" s="16">
        <f t="shared" si="1"/>
        <v>188.1</v>
      </c>
      <c r="F29" s="16">
        <f t="shared" si="1"/>
        <v>93.1</v>
      </c>
    </row>
    <row r="30" spans="1:6" ht="15" x14ac:dyDescent="0.25">
      <c r="A30" s="18" t="s">
        <v>84</v>
      </c>
      <c r="B30" s="16">
        <f>AVERAGE(B6:B27)</f>
        <v>20.827272727272728</v>
      </c>
      <c r="C30" s="16">
        <f>AVERAGE(C6:C27)</f>
        <v>62.377272727272725</v>
      </c>
      <c r="D30" s="16">
        <f t="shared" ref="D30:F30" si="2">AVERAGE(D6:D27)</f>
        <v>37.800000000000004</v>
      </c>
      <c r="E30" s="16">
        <f t="shared" si="2"/>
        <v>76.418181818181822</v>
      </c>
      <c r="F30" s="16">
        <f t="shared" si="2"/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9" sqref="B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4" customFormat="1" ht="21" x14ac:dyDescent="0.35">
      <c r="A1" s="35" t="s">
        <v>56</v>
      </c>
      <c r="B1" s="34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36" t="s">
        <v>53</v>
      </c>
      <c r="B5" s="33" t="s">
        <v>177</v>
      </c>
    </row>
    <row r="6" spans="1:10" ht="18.75" x14ac:dyDescent="0.3">
      <c r="A6" s="36" t="s">
        <v>154</v>
      </c>
      <c r="B6" s="33" t="s">
        <v>178</v>
      </c>
    </row>
    <row r="7" spans="1:10" ht="18.75" x14ac:dyDescent="0.3">
      <c r="A7" s="36"/>
      <c r="B7" s="33" t="s">
        <v>179</v>
      </c>
    </row>
    <row r="8" spans="1:10" x14ac:dyDescent="0.25">
      <c r="B8" s="1" t="s">
        <v>180</v>
      </c>
    </row>
    <row r="9" spans="1:10" ht="23.25" x14ac:dyDescent="0.35">
      <c r="A9" s="17" t="s">
        <v>166</v>
      </c>
      <c r="I9" s="2"/>
      <c r="J9" s="2"/>
    </row>
    <row r="10" spans="1:10" x14ac:dyDescent="0.25">
      <c r="A10" s="26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163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35" t="s">
        <v>85</v>
      </c>
      <c r="B1" s="34" t="s">
        <v>167</v>
      </c>
    </row>
    <row r="2" spans="1:3" ht="18.75" x14ac:dyDescent="0.3">
      <c r="B2" s="33" t="s">
        <v>181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 t="s">
        <v>182</v>
      </c>
    </row>
    <row r="7" spans="1:3" ht="15" x14ac:dyDescent="0.25">
      <c r="A7" s="3" t="s">
        <v>154</v>
      </c>
      <c r="B7" s="1" t="s">
        <v>183</v>
      </c>
    </row>
    <row r="10" spans="1:3" ht="23.25" x14ac:dyDescent="0.35">
      <c r="A10" s="17" t="s">
        <v>163</v>
      </c>
    </row>
    <row r="11" spans="1:3" ht="15" x14ac:dyDescent="0.25">
      <c r="A11" s="25" t="s">
        <v>86</v>
      </c>
      <c r="B11" s="16" t="s">
        <v>87</v>
      </c>
      <c r="C11" s="16" t="s">
        <v>88</v>
      </c>
    </row>
    <row r="12" spans="1:3" ht="15" x14ac:dyDescent="0.25">
      <c r="A12" s="25">
        <v>44927</v>
      </c>
      <c r="B12" s="16" t="s">
        <v>59</v>
      </c>
      <c r="C12" s="16">
        <v>200</v>
      </c>
    </row>
    <row r="13" spans="1:3" ht="15" x14ac:dyDescent="0.25">
      <c r="A13" s="25">
        <v>44928</v>
      </c>
      <c r="B13" s="16" t="s">
        <v>60</v>
      </c>
      <c r="C13" s="16">
        <v>20</v>
      </c>
    </row>
    <row r="14" spans="1:3" ht="15" x14ac:dyDescent="0.25">
      <c r="A14" s="25">
        <v>44929</v>
      </c>
      <c r="B14" s="16" t="s">
        <v>61</v>
      </c>
      <c r="C14" s="16">
        <v>50</v>
      </c>
    </row>
    <row r="15" spans="1:3" ht="15" x14ac:dyDescent="0.25">
      <c r="A15" s="25">
        <v>44930</v>
      </c>
      <c r="B15" s="16" t="s">
        <v>62</v>
      </c>
      <c r="C15" s="16">
        <v>20</v>
      </c>
    </row>
    <row r="16" spans="1:3" ht="15" x14ac:dyDescent="0.25">
      <c r="A16" s="25">
        <v>44931</v>
      </c>
      <c r="B16" s="16" t="s">
        <v>63</v>
      </c>
      <c r="C16" s="16">
        <v>10</v>
      </c>
    </row>
    <row r="17" spans="1:3" ht="15" x14ac:dyDescent="0.25">
      <c r="A17" s="25">
        <v>44932</v>
      </c>
      <c r="B17" s="16" t="s">
        <v>155</v>
      </c>
      <c r="C17" s="16">
        <v>150</v>
      </c>
    </row>
    <row r="18" spans="1:3" ht="15" x14ac:dyDescent="0.25">
      <c r="A18" s="25">
        <v>44933</v>
      </c>
      <c r="B18" s="16" t="s">
        <v>156</v>
      </c>
      <c r="C18" s="16">
        <v>80</v>
      </c>
    </row>
    <row r="19" spans="1:3" ht="15" x14ac:dyDescent="0.25">
      <c r="A19" s="25">
        <v>44934</v>
      </c>
      <c r="B19" s="16" t="s">
        <v>157</v>
      </c>
      <c r="C19" s="16">
        <v>20</v>
      </c>
    </row>
    <row r="20" spans="1:3" ht="15" x14ac:dyDescent="0.25">
      <c r="A20" s="25">
        <v>44935</v>
      </c>
      <c r="B20" s="16" t="s">
        <v>158</v>
      </c>
      <c r="C20" s="16">
        <v>30</v>
      </c>
    </row>
    <row r="21" spans="1:3" ht="15" x14ac:dyDescent="0.25">
      <c r="A21" s="25">
        <v>44936</v>
      </c>
      <c r="B21" s="16" t="s">
        <v>159</v>
      </c>
      <c r="C21" s="16">
        <v>20</v>
      </c>
    </row>
    <row r="22" spans="1:3" ht="15" x14ac:dyDescent="0.25">
      <c r="B22" s="16" t="s">
        <v>160</v>
      </c>
      <c r="C22" s="22">
        <f>SUM(C12:C21)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70" zoomScaleNormal="70" workbookViewId="0">
      <selection activeCell="H24" sqref="H2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35" t="s">
        <v>98</v>
      </c>
      <c r="B1" s="34" t="s">
        <v>175</v>
      </c>
    </row>
    <row r="3" spans="1:14" ht="15" x14ac:dyDescent="0.25">
      <c r="B3" s="1" t="s">
        <v>152</v>
      </c>
    </row>
    <row r="4" spans="1:14" ht="18.75" x14ac:dyDescent="0.3">
      <c r="A4" s="36" t="s">
        <v>53</v>
      </c>
      <c r="B4" s="1"/>
      <c r="C4" s="2" t="s">
        <v>184</v>
      </c>
    </row>
    <row r="5" spans="1:14" ht="18.75" x14ac:dyDescent="0.3">
      <c r="A5" s="36" t="s">
        <v>154</v>
      </c>
      <c r="B5" s="1" t="s">
        <v>186</v>
      </c>
    </row>
    <row r="6" spans="1:14" ht="15" x14ac:dyDescent="0.25">
      <c r="A6" s="3"/>
      <c r="B6" s="1" t="s">
        <v>187</v>
      </c>
    </row>
    <row r="8" spans="1:14" ht="23.25" x14ac:dyDescent="0.35">
      <c r="A8" s="17" t="s">
        <v>163</v>
      </c>
      <c r="M8" s="17" t="s">
        <v>164</v>
      </c>
    </row>
    <row r="9" spans="1:14" ht="15" x14ac:dyDescent="0.25">
      <c r="A9" s="23"/>
      <c r="B9" s="23" t="s">
        <v>89</v>
      </c>
      <c r="C9" s="23" t="s">
        <v>90</v>
      </c>
      <c r="D9" s="23" t="s">
        <v>91</v>
      </c>
      <c r="E9" s="23" t="s">
        <v>92</v>
      </c>
      <c r="F9" s="23" t="s">
        <v>93</v>
      </c>
      <c r="G9" s="23" t="s">
        <v>94</v>
      </c>
      <c r="H9" s="23" t="s">
        <v>95</v>
      </c>
      <c r="I9" s="23" t="s">
        <v>96</v>
      </c>
      <c r="J9" s="23" t="s">
        <v>97</v>
      </c>
      <c r="M9" s="18" t="s">
        <v>43</v>
      </c>
      <c r="N9" s="18" t="s">
        <v>99</v>
      </c>
    </row>
    <row r="10" spans="1:14" ht="15" x14ac:dyDescent="0.25">
      <c r="A10" s="23" t="s">
        <v>89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11">
        <v>10100</v>
      </c>
      <c r="N10" s="11" t="s">
        <v>89</v>
      </c>
    </row>
    <row r="11" spans="1:14" ht="15" x14ac:dyDescent="0.25">
      <c r="A11" s="23" t="s">
        <v>90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11">
        <v>10102</v>
      </c>
      <c r="N11" s="11" t="s">
        <v>90</v>
      </c>
    </row>
    <row r="12" spans="1:14" ht="15" x14ac:dyDescent="0.25">
      <c r="A12" s="23" t="s">
        <v>91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11">
        <v>10104</v>
      </c>
      <c r="N12" s="11" t="s">
        <v>91</v>
      </c>
    </row>
    <row r="13" spans="1:14" ht="15" x14ac:dyDescent="0.25">
      <c r="A13" s="23" t="s">
        <v>92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11">
        <v>10106</v>
      </c>
      <c r="N13" s="11" t="s">
        <v>92</v>
      </c>
    </row>
    <row r="14" spans="1:14" ht="15" x14ac:dyDescent="0.25">
      <c r="A14" s="23" t="s">
        <v>93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11">
        <v>10108</v>
      </c>
      <c r="N14" s="11" t="s">
        <v>93</v>
      </c>
    </row>
    <row r="15" spans="1:14" ht="15" x14ac:dyDescent="0.25">
      <c r="A15" s="23" t="s">
        <v>94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11">
        <v>10110</v>
      </c>
      <c r="N15" s="11" t="s">
        <v>94</v>
      </c>
    </row>
    <row r="16" spans="1:14" ht="15" x14ac:dyDescent="0.25">
      <c r="A16" s="23" t="s">
        <v>95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11">
        <v>10112</v>
      </c>
      <c r="N16" s="11" t="s">
        <v>95</v>
      </c>
    </row>
    <row r="17" spans="1:14" ht="15" x14ac:dyDescent="0.25">
      <c r="A17" s="23" t="s">
        <v>96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11">
        <v>10114</v>
      </c>
      <c r="N17" s="11" t="s">
        <v>96</v>
      </c>
    </row>
    <row r="18" spans="1:14" ht="15" x14ac:dyDescent="0.25">
      <c r="A18" s="23" t="s">
        <v>97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37">
        <f>VLOOKUP(VLOOKUP(A23,$M$10:$N$18,2,FALSE),$A$9:$J$18,MATCH(VLOOKUP(B23,$M$10:$N$18,2,FALSE),$A$9:$J$9,0),FALSE)</f>
        <v>95</v>
      </c>
    </row>
    <row r="24" spans="1:14" ht="15" x14ac:dyDescent="0.25">
      <c r="A24" s="7">
        <v>10100</v>
      </c>
      <c r="B24" s="11">
        <v>10104</v>
      </c>
      <c r="C24" s="37">
        <f>VLOOKUP(VLOOKUP(A24,$M$10:$N$18,2,FALSE),$A$9:$J$18,MATCH(VLOOKUP(B24,$M$10:$N$18,2,FALSE),$A$9:$J$9,0),FALSE)</f>
        <v>-1</v>
      </c>
    </row>
    <row r="25" spans="1:14" ht="15" x14ac:dyDescent="0.25">
      <c r="A25" s="7">
        <v>10108</v>
      </c>
      <c r="B25" s="11">
        <v>10102</v>
      </c>
      <c r="C25" s="37">
        <f t="shared" ref="C25:C35" si="0">VLOOKUP(VLOOKUP(A25,$M$10:$N$18,2,FALSE),$A$9:$J$18,MATCH(VLOOKUP(B25,$M$10:$N$18,2,FALSE),$A$9:$J$9,0),FALSE)</f>
        <v>160</v>
      </c>
    </row>
    <row r="26" spans="1:14" ht="15" x14ac:dyDescent="0.25">
      <c r="A26" s="7">
        <v>10100</v>
      </c>
      <c r="B26" s="11">
        <v>10106</v>
      </c>
      <c r="C26" s="37">
        <f t="shared" si="0"/>
        <v>185</v>
      </c>
    </row>
    <row r="27" spans="1:14" ht="15" x14ac:dyDescent="0.25">
      <c r="A27" s="7">
        <v>10108</v>
      </c>
      <c r="B27" s="11">
        <v>10110</v>
      </c>
      <c r="C27" s="37">
        <f t="shared" si="0"/>
        <v>50</v>
      </c>
    </row>
    <row r="28" spans="1:14" ht="15" x14ac:dyDescent="0.25">
      <c r="A28" s="7">
        <v>10102</v>
      </c>
      <c r="B28" s="11">
        <v>10104</v>
      </c>
      <c r="C28" s="37">
        <f t="shared" si="0"/>
        <v>-1</v>
      </c>
    </row>
    <row r="29" spans="1:14" ht="15" x14ac:dyDescent="0.25">
      <c r="A29" s="7">
        <v>10106</v>
      </c>
      <c r="B29" s="11">
        <v>10108</v>
      </c>
      <c r="C29" s="37">
        <f t="shared" si="0"/>
        <v>70</v>
      </c>
    </row>
    <row r="30" spans="1:14" ht="15" x14ac:dyDescent="0.25">
      <c r="A30" s="7">
        <v>10102</v>
      </c>
      <c r="B30" s="11">
        <v>10106</v>
      </c>
      <c r="C30" s="37">
        <f t="shared" si="0"/>
        <v>90</v>
      </c>
    </row>
    <row r="31" spans="1:14" ht="15" x14ac:dyDescent="0.25">
      <c r="A31" s="7">
        <v>10110</v>
      </c>
      <c r="B31" s="11">
        <v>10114</v>
      </c>
      <c r="C31" s="37">
        <f t="shared" si="0"/>
        <v>180</v>
      </c>
    </row>
    <row r="32" spans="1:14" ht="15" x14ac:dyDescent="0.25">
      <c r="A32" s="7">
        <v>10104</v>
      </c>
      <c r="B32" s="11">
        <v>10106</v>
      </c>
      <c r="C32" s="37">
        <f t="shared" si="0"/>
        <v>60</v>
      </c>
    </row>
    <row r="33" spans="1:3" ht="15" x14ac:dyDescent="0.25">
      <c r="A33" s="7">
        <v>10110</v>
      </c>
      <c r="B33" s="11">
        <v>10112</v>
      </c>
      <c r="C33" s="37">
        <f t="shared" si="0"/>
        <v>115</v>
      </c>
    </row>
    <row r="34" spans="1:3" ht="15" x14ac:dyDescent="0.25">
      <c r="A34" s="7">
        <v>10100</v>
      </c>
      <c r="B34" s="11">
        <v>10114</v>
      </c>
      <c r="C34" s="37">
        <f t="shared" si="0"/>
        <v>480</v>
      </c>
    </row>
    <row r="35" spans="1:3" ht="15" x14ac:dyDescent="0.25">
      <c r="A35" s="8">
        <v>10112</v>
      </c>
      <c r="B35" s="12">
        <v>10116</v>
      </c>
      <c r="C35" s="37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Sheet1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ELCOT</cp:lastModifiedBy>
  <dcterms:created xsi:type="dcterms:W3CDTF">2015-02-10T17:33:11Z</dcterms:created>
  <dcterms:modified xsi:type="dcterms:W3CDTF">2023-12-09T07:42:24Z</dcterms:modified>
</cp:coreProperties>
</file>